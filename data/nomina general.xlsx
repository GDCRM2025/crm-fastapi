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" sheetId="1" r:id="rId5"/>
  </sheets>
  <definedNames/>
  <calcPr/>
</workbook>
</file>

<file path=xl/sharedStrings.xml><?xml version="1.0" encoding="utf-8"?>
<sst xmlns="http://schemas.openxmlformats.org/spreadsheetml/2006/main" count="88" uniqueCount="46">
  <si>
    <t>Colaborador</t>
  </si>
  <si>
    <t>Centro de Costo</t>
  </si>
  <si>
    <t>Situación Contractual</t>
  </si>
  <si>
    <t>SUELDO FIJO</t>
  </si>
  <si>
    <t>Fecha de Inicio</t>
  </si>
  <si>
    <t>HH LIQUIDO</t>
  </si>
  <si>
    <t>HH DIARIO</t>
  </si>
  <si>
    <t>DIAS TRABAJADOS</t>
  </si>
  <si>
    <t>A PAGAR LIQUIDO</t>
  </si>
  <si>
    <t>FIJO BRUTO</t>
  </si>
  <si>
    <t>COMISIONES BRUTAS</t>
  </si>
  <si>
    <t>% IMPOSICION</t>
  </si>
  <si>
    <t>COMISION NETA</t>
  </si>
  <si>
    <t>COMISION O BONO NO IMPONIBLE</t>
  </si>
  <si>
    <t>ADELANTOS</t>
  </si>
  <si>
    <t>TOTAL A PAGAR</t>
  </si>
  <si>
    <t>Fecha de Vencimiento</t>
  </si>
  <si>
    <t>Estado</t>
  </si>
  <si>
    <t>Fecha Regularización</t>
  </si>
  <si>
    <t>Antigüedad</t>
  </si>
  <si>
    <t>Días Generados</t>
  </si>
  <si>
    <t>Días Tomados</t>
  </si>
  <si>
    <t>Sobrante</t>
  </si>
  <si>
    <t>Observaciones</t>
  </si>
  <si>
    <t>Oscar Mendoza</t>
  </si>
  <si>
    <t>Greendiamond</t>
  </si>
  <si>
    <t>Indefinido</t>
  </si>
  <si>
    <t>Ok</t>
  </si>
  <si>
    <t>Andres Landerer</t>
  </si>
  <si>
    <t>Constanza Franco</t>
  </si>
  <si>
    <t>Daniel Toledo</t>
  </si>
  <si>
    <t>Mauricio Zambrano</t>
  </si>
  <si>
    <t>Martin Espinosa</t>
  </si>
  <si>
    <t>Gonzalo Baez</t>
  </si>
  <si>
    <t>A Plazo</t>
  </si>
  <si>
    <t>Luis Vera</t>
  </si>
  <si>
    <t>Yonathan Vivanco</t>
  </si>
  <si>
    <t>Felipe Nouvel</t>
  </si>
  <si>
    <t>Cristobal Bolados</t>
  </si>
  <si>
    <t>Ramon Veroes</t>
  </si>
  <si>
    <t>Rolfi</t>
  </si>
  <si>
    <t>Miguel Zarza</t>
  </si>
  <si>
    <t>Sebastian Figueroa</t>
  </si>
  <si>
    <t>Winder Morillo</t>
  </si>
  <si>
    <t>Alexander Quintero</t>
  </si>
  <si>
    <t>IRREGULAR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</si>
</sst>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dddd&quot;, &quot;d&quot; de &quot;mmmm&quot; de &quot;yyyy"/>
    <numFmt numFmtId="166" formatCode="[h]:mm"/>
  </numFmts>
  <fonts count="4">
    <font>
      <sz val="10.0"/>
      <color rgb="FF00000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3" numFmtId="166" xfId="0" applyFont="1" applyNumberFormat="1"/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0.63"/>
    <col customWidth="1" min="2" max="2" width="13.13"/>
    <col customWidth="1" min="3" max="3" width="21.25"/>
    <col customWidth="1" min="4" max="5" width="27.0"/>
    <col customWidth="1" min="6" max="17" width="25.38"/>
    <col customWidth="1" min="19" max="19" width="25.38"/>
    <col customWidth="1" min="20" max="20" width="14.0"/>
    <col customWidth="1" min="24" max="24" width="34.75"/>
    <col hidden="1" min="25" max="25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>
        <f>IFERROR(CONFIG!$B$2,5)</f>
        <v>5</v>
      </c>
      <c r="Z1" s="3"/>
    </row>
    <row r="2">
      <c r="A2" s="4" t="s">
        <v>24</v>
      </c>
      <c r="B2" s="4" t="s">
        <v>25</v>
      </c>
      <c r="C2" s="4" t="s">
        <v>26</v>
      </c>
      <c r="D2" s="5">
        <v>2100000.0</v>
      </c>
      <c r="E2" s="6">
        <v>45627.0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4" t="s">
        <v>27</v>
      </c>
      <c r="S2" s="7"/>
      <c r="T2" s="8" t="str">
        <f t="shared" ref="T2:T18" si="1">IF($E2="","",DATEDIF($E2,TODAY(),"Y") &amp; " años, " &amp; DATEDIF($E2,TODAY(),"YM") &amp; " meses")</f>
        <v>1 años, 2 meses</v>
      </c>
      <c r="U2" s="9" t="str">
        <f t="shared" ref="U2:U18" si="2">IF($E2="","",CONFIG!$B$1 * DATEDIF($E2,TODAY(),"Y") + INT((CONFIG!$B$1 * DATEDIF($E2,TODAY(),"YM"))/12))</f>
        <v>#REF!</v>
      </c>
      <c r="V2" s="9">
        <f t="shared" ref="V2:V18" si="3">IF($A2="","",IFERROR(SUMIFS(MOVIMIENTOS!$F:$F,MOVIMIENTOS!$B:$B,$A2,MOVIMIENTOS!$H:$H,"SI",MOVIMIENTOS!$G:$G,"Vacaciones"),0))</f>
        <v>0</v>
      </c>
      <c r="W2" s="9" t="str">
        <f t="shared" ref="W2:W18" si="4">IF($U2="","",$U2 - $V2)</f>
        <v>#REF!</v>
      </c>
    </row>
    <row r="3">
      <c r="A3" s="4" t="s">
        <v>28</v>
      </c>
      <c r="B3" s="4" t="s">
        <v>25</v>
      </c>
      <c r="C3" s="4" t="s">
        <v>26</v>
      </c>
      <c r="D3" s="5">
        <v>529000.0</v>
      </c>
      <c r="E3" s="6">
        <v>44593.0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4" t="s">
        <v>27</v>
      </c>
      <c r="S3" s="7"/>
      <c r="T3" s="8" t="str">
        <f t="shared" si="1"/>
        <v>4 años, 0 meses</v>
      </c>
      <c r="U3" s="9" t="str">
        <f t="shared" si="2"/>
        <v>#REF!</v>
      </c>
      <c r="V3" s="9">
        <f t="shared" si="3"/>
        <v>0</v>
      </c>
      <c r="W3" s="9" t="str">
        <f t="shared" si="4"/>
        <v>#REF!</v>
      </c>
      <c r="X3" s="10"/>
    </row>
    <row r="4">
      <c r="A4" s="4" t="s">
        <v>29</v>
      </c>
      <c r="B4" s="4" t="s">
        <v>25</v>
      </c>
      <c r="C4" s="4" t="s">
        <v>26</v>
      </c>
      <c r="D4" s="5">
        <v>529000.0</v>
      </c>
      <c r="E4" s="6">
        <v>46023.0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4" t="s">
        <v>27</v>
      </c>
      <c r="S4" s="7"/>
      <c r="T4" s="8" t="str">
        <f t="shared" si="1"/>
        <v>0 años, 1 meses</v>
      </c>
      <c r="U4" s="9" t="str">
        <f t="shared" si="2"/>
        <v>#REF!</v>
      </c>
      <c r="V4" s="9">
        <f t="shared" si="3"/>
        <v>0</v>
      </c>
      <c r="W4" s="9" t="str">
        <f t="shared" si="4"/>
        <v>#REF!</v>
      </c>
      <c r="X4" s="10"/>
    </row>
    <row r="5">
      <c r="A5" s="4" t="s">
        <v>30</v>
      </c>
      <c r="B5" s="4" t="s">
        <v>25</v>
      </c>
      <c r="C5" s="4" t="s">
        <v>26</v>
      </c>
      <c r="D5" s="5">
        <v>529000.0</v>
      </c>
      <c r="E5" s="6">
        <v>45962.0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4" t="s">
        <v>27</v>
      </c>
      <c r="S5" s="7"/>
      <c r="T5" s="8" t="str">
        <f t="shared" si="1"/>
        <v>0 años, 3 meses</v>
      </c>
      <c r="U5" s="9" t="str">
        <f t="shared" si="2"/>
        <v>#REF!</v>
      </c>
      <c r="V5" s="9">
        <f t="shared" si="3"/>
        <v>0</v>
      </c>
      <c r="W5" s="9" t="str">
        <f t="shared" si="4"/>
        <v>#REF!</v>
      </c>
      <c r="X5" s="10"/>
    </row>
    <row r="6">
      <c r="A6" s="4" t="s">
        <v>31</v>
      </c>
      <c r="B6" s="4" t="s">
        <v>25</v>
      </c>
      <c r="C6" s="4" t="s">
        <v>26</v>
      </c>
      <c r="D6" s="5">
        <v>2000000.0</v>
      </c>
      <c r="E6" s="6">
        <v>45627.0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4" t="s">
        <v>27</v>
      </c>
      <c r="S6" s="7"/>
      <c r="T6" s="8" t="str">
        <f t="shared" si="1"/>
        <v>1 años, 2 meses</v>
      </c>
      <c r="U6" s="9" t="str">
        <f t="shared" si="2"/>
        <v>#REF!</v>
      </c>
      <c r="V6" s="9">
        <f t="shared" si="3"/>
        <v>0</v>
      </c>
      <c r="W6" s="9" t="str">
        <f t="shared" si="4"/>
        <v>#REF!</v>
      </c>
      <c r="X6" s="10"/>
    </row>
    <row r="7">
      <c r="A7" s="4" t="s">
        <v>32</v>
      </c>
      <c r="B7" s="4" t="s">
        <v>25</v>
      </c>
      <c r="C7" s="4" t="s">
        <v>26</v>
      </c>
      <c r="D7" s="5">
        <v>1500000.0</v>
      </c>
      <c r="E7" s="6">
        <v>45231.0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4" t="s">
        <v>27</v>
      </c>
      <c r="S7" s="7"/>
      <c r="T7" s="8" t="str">
        <f t="shared" si="1"/>
        <v>2 años, 3 meses</v>
      </c>
      <c r="U7" s="9" t="str">
        <f t="shared" si="2"/>
        <v>#REF!</v>
      </c>
      <c r="V7" s="9">
        <f t="shared" si="3"/>
        <v>0</v>
      </c>
      <c r="W7" s="9" t="str">
        <f t="shared" si="4"/>
        <v>#REF!</v>
      </c>
      <c r="X7" s="10"/>
    </row>
    <row r="8">
      <c r="A8" s="4" t="s">
        <v>33</v>
      </c>
      <c r="B8" s="4" t="s">
        <v>25</v>
      </c>
      <c r="C8" s="4" t="s">
        <v>34</v>
      </c>
      <c r="D8" s="5">
        <v>650000.0</v>
      </c>
      <c r="E8" s="6">
        <v>45962.0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45992.0</v>
      </c>
      <c r="R8" s="4" t="s">
        <v>27</v>
      </c>
      <c r="S8" s="7"/>
      <c r="T8" s="8" t="str">
        <f t="shared" si="1"/>
        <v>0 años, 3 meses</v>
      </c>
      <c r="U8" s="9" t="str">
        <f t="shared" si="2"/>
        <v>#REF!</v>
      </c>
      <c r="V8" s="9">
        <f t="shared" si="3"/>
        <v>0</v>
      </c>
      <c r="W8" s="9" t="str">
        <f t="shared" si="4"/>
        <v>#REF!</v>
      </c>
      <c r="X8" s="10"/>
    </row>
    <row r="9">
      <c r="A9" s="4" t="s">
        <v>35</v>
      </c>
      <c r="B9" s="4" t="s">
        <v>25</v>
      </c>
      <c r="C9" s="4" t="s">
        <v>34</v>
      </c>
      <c r="D9" s="5">
        <v>650000.0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45992.0</v>
      </c>
      <c r="R9" s="4" t="s">
        <v>27</v>
      </c>
      <c r="S9" s="7"/>
      <c r="T9" s="8" t="str">
        <f t="shared" si="1"/>
        <v/>
      </c>
      <c r="U9" s="9" t="str">
        <f t="shared" si="2"/>
        <v/>
      </c>
      <c r="V9" s="9">
        <f t="shared" si="3"/>
        <v>0</v>
      </c>
      <c r="W9" s="9" t="str">
        <f t="shared" si="4"/>
        <v/>
      </c>
      <c r="X9" s="10"/>
    </row>
    <row r="10">
      <c r="A10" s="4" t="s">
        <v>36</v>
      </c>
      <c r="B10" s="4" t="s">
        <v>25</v>
      </c>
      <c r="C10" s="4" t="s">
        <v>34</v>
      </c>
      <c r="D10" s="5">
        <v>650000.0</v>
      </c>
      <c r="E10" s="6">
        <v>45962.0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45992.0</v>
      </c>
      <c r="R10" s="4" t="s">
        <v>27</v>
      </c>
      <c r="S10" s="6">
        <v>45992.0</v>
      </c>
      <c r="T10" s="8" t="str">
        <f t="shared" si="1"/>
        <v>0 años, 3 meses</v>
      </c>
      <c r="U10" s="9" t="str">
        <f t="shared" si="2"/>
        <v>#REF!</v>
      </c>
      <c r="V10" s="9">
        <f t="shared" si="3"/>
        <v>0</v>
      </c>
      <c r="W10" s="9" t="str">
        <f t="shared" si="4"/>
        <v>#REF!</v>
      </c>
      <c r="X10" s="10"/>
    </row>
    <row r="11">
      <c r="A11" s="4" t="s">
        <v>37</v>
      </c>
      <c r="B11" s="4" t="s">
        <v>25</v>
      </c>
      <c r="C11" s="4" t="s">
        <v>26</v>
      </c>
      <c r="D11" s="5">
        <v>650000.0</v>
      </c>
      <c r="E11" s="6">
        <v>45962.0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4" t="s">
        <v>27</v>
      </c>
      <c r="S11" s="7"/>
      <c r="T11" s="8" t="str">
        <f t="shared" si="1"/>
        <v>0 años, 3 meses</v>
      </c>
      <c r="U11" s="9" t="str">
        <f t="shared" si="2"/>
        <v>#REF!</v>
      </c>
      <c r="V11" s="9">
        <f t="shared" si="3"/>
        <v>0</v>
      </c>
      <c r="W11" s="9" t="str">
        <f t="shared" si="4"/>
        <v>#REF!</v>
      </c>
      <c r="X11" s="10"/>
    </row>
    <row r="12">
      <c r="A12" s="4" t="s">
        <v>38</v>
      </c>
      <c r="B12" s="4" t="s">
        <v>25</v>
      </c>
      <c r="C12" s="4" t="s">
        <v>26</v>
      </c>
      <c r="D12" s="5">
        <v>900000.0</v>
      </c>
      <c r="E12" s="6">
        <v>45870.0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4" t="s">
        <v>27</v>
      </c>
      <c r="S12" s="7"/>
      <c r="T12" s="8" t="str">
        <f t="shared" si="1"/>
        <v>0 años, 6 meses</v>
      </c>
      <c r="U12" s="9" t="str">
        <f t="shared" si="2"/>
        <v>#REF!</v>
      </c>
      <c r="V12" s="9">
        <f t="shared" si="3"/>
        <v>0</v>
      </c>
      <c r="W12" s="9" t="str">
        <f t="shared" si="4"/>
        <v>#REF!</v>
      </c>
      <c r="X12" s="10"/>
    </row>
    <row r="13">
      <c r="A13" s="4" t="s">
        <v>39</v>
      </c>
      <c r="B13" s="4" t="s">
        <v>40</v>
      </c>
      <c r="C13" s="4" t="s">
        <v>26</v>
      </c>
      <c r="D13" s="5">
        <v>900000.0</v>
      </c>
      <c r="E13" s="6">
        <v>45931.0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4" t="s">
        <v>27</v>
      </c>
      <c r="S13" s="7"/>
      <c r="T13" s="8" t="str">
        <f t="shared" si="1"/>
        <v>0 años, 4 meses</v>
      </c>
      <c r="U13" s="9" t="str">
        <f t="shared" si="2"/>
        <v>#REF!</v>
      </c>
      <c r="V13" s="9">
        <f t="shared" si="3"/>
        <v>0</v>
      </c>
      <c r="W13" s="9" t="str">
        <f t="shared" si="4"/>
        <v>#REF!</v>
      </c>
      <c r="X13" s="10"/>
    </row>
    <row r="14">
      <c r="A14" s="4" t="s">
        <v>41</v>
      </c>
      <c r="B14" s="4" t="s">
        <v>40</v>
      </c>
      <c r="C14" s="4" t="s">
        <v>26</v>
      </c>
      <c r="D14" s="5">
        <v>850000.0</v>
      </c>
      <c r="E14" s="6">
        <v>45931.0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4" t="s">
        <v>27</v>
      </c>
      <c r="S14" s="7"/>
      <c r="T14" s="8" t="str">
        <f t="shared" si="1"/>
        <v>0 años, 4 meses</v>
      </c>
      <c r="U14" s="9" t="str">
        <f t="shared" si="2"/>
        <v>#REF!</v>
      </c>
      <c r="V14" s="9">
        <f t="shared" si="3"/>
        <v>0</v>
      </c>
      <c r="W14" s="9" t="str">
        <f t="shared" si="4"/>
        <v>#REF!</v>
      </c>
      <c r="X14" s="10"/>
    </row>
    <row r="15">
      <c r="A15" s="4" t="s">
        <v>42</v>
      </c>
      <c r="B15" s="4" t="s">
        <v>40</v>
      </c>
      <c r="C15" s="4" t="s">
        <v>34</v>
      </c>
      <c r="D15" s="5">
        <v>650000.0</v>
      </c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4" t="s">
        <v>27</v>
      </c>
      <c r="S15" s="7"/>
      <c r="T15" s="8" t="str">
        <f t="shared" si="1"/>
        <v/>
      </c>
      <c r="U15" s="9" t="str">
        <f t="shared" si="2"/>
        <v/>
      </c>
      <c r="V15" s="9">
        <f t="shared" si="3"/>
        <v>0</v>
      </c>
      <c r="W15" s="9" t="str">
        <f t="shared" si="4"/>
        <v/>
      </c>
      <c r="X15" s="10"/>
    </row>
    <row r="16">
      <c r="A16" s="4" t="s">
        <v>43</v>
      </c>
      <c r="B16" s="4" t="s">
        <v>40</v>
      </c>
      <c r="C16" s="4" t="s">
        <v>26</v>
      </c>
      <c r="D16" s="5">
        <v>700000.0</v>
      </c>
      <c r="E16" s="6">
        <v>45931.0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4" t="s">
        <v>27</v>
      </c>
      <c r="S16" s="7"/>
      <c r="T16" s="8" t="str">
        <f t="shared" si="1"/>
        <v>0 años, 4 meses</v>
      </c>
      <c r="U16" s="9" t="str">
        <f t="shared" si="2"/>
        <v>#REF!</v>
      </c>
      <c r="V16" s="9">
        <f t="shared" si="3"/>
        <v>0</v>
      </c>
      <c r="W16" s="9" t="str">
        <f t="shared" si="4"/>
        <v>#REF!</v>
      </c>
      <c r="X16" s="10"/>
    </row>
    <row r="17">
      <c r="A17" s="4" t="s">
        <v>44</v>
      </c>
      <c r="B17" s="4" t="s">
        <v>40</v>
      </c>
      <c r="C17" s="4" t="s">
        <v>45</v>
      </c>
      <c r="D17" s="5">
        <v>600000.0</v>
      </c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4" t="s">
        <v>45</v>
      </c>
      <c r="S17" s="7"/>
      <c r="T17" s="8" t="str">
        <f t="shared" si="1"/>
        <v/>
      </c>
      <c r="U17" s="9" t="str">
        <f t="shared" si="2"/>
        <v/>
      </c>
      <c r="V17" s="9">
        <f t="shared" si="3"/>
        <v>0</v>
      </c>
      <c r="W17" s="9" t="str">
        <f t="shared" si="4"/>
        <v/>
      </c>
      <c r="X17" s="10"/>
    </row>
    <row r="18">
      <c r="T18" s="8" t="str">
        <f t="shared" si="1"/>
        <v/>
      </c>
      <c r="U18" s="9" t="str">
        <f t="shared" si="2"/>
        <v/>
      </c>
      <c r="V18" s="9" t="str">
        <f t="shared" si="3"/>
        <v/>
      </c>
      <c r="W18" s="9" t="str">
        <f t="shared" si="4"/>
        <v/>
      </c>
    </row>
  </sheetData>
  <conditionalFormatting sqref="W2:W18">
    <cfRule type="cellIs" dxfId="0" priority="1" stopIfTrue="1" operator="lessThan">
      <formula>0</formula>
    </cfRule>
  </conditionalFormatting>
  <conditionalFormatting sqref="W2:W18">
    <cfRule type="expression" dxfId="1" priority="2" stopIfTrue="1">
      <formula>AND($W2&gt;=0,$W2&lt;$Y$1)</formula>
    </cfRule>
  </conditionalFormatting>
  <conditionalFormatting sqref="W2:W18">
    <cfRule type="expression" dxfId="2" priority="3" stopIfTrue="1">
      <formula>$W2&gt;=$Y$1</formula>
    </cfRule>
  </conditionalFormatting>
  <conditionalFormatting sqref="W2:W18">
    <cfRule type="cellIs" dxfId="0" priority="4" stopIfTrue="1" operator="lessThan">
      <formula>0</formula>
    </cfRule>
  </conditionalFormatting>
  <conditionalFormatting sqref="W2:W18">
    <cfRule type="expression" dxfId="1" priority="5" stopIfTrue="1">
      <formula>AND($W2&gt;=0,$W2&lt;$Y$1)</formula>
    </cfRule>
  </conditionalFormatting>
  <conditionalFormatting sqref="W2:W18">
    <cfRule type="expression" dxfId="2" priority="6" stopIfTrue="1">
      <formula>$W2&gt;=$Y$1</formula>
    </cfRule>
  </conditionalFormatting>
  <conditionalFormatting sqref="W2:W18">
    <cfRule type="cellIs" dxfId="0" priority="7" stopIfTrue="1" operator="lessThan">
      <formula>0</formula>
    </cfRule>
  </conditionalFormatting>
  <conditionalFormatting sqref="W2:W18">
    <cfRule type="expression" dxfId="1" priority="8" stopIfTrue="1">
      <formula>AND($W2&gt;=0,$W2&lt;$Y$1)</formula>
    </cfRule>
  </conditionalFormatting>
  <conditionalFormatting sqref="W2:W18">
    <cfRule type="expression" dxfId="2" priority="9" stopIfTrue="1">
      <formula>$W2&gt;=$Y$1</formula>
    </cfRule>
  </conditionalFormatting>
  <conditionalFormatting sqref="W2:W18">
    <cfRule type="cellIs" dxfId="0" priority="10" stopIfTrue="1" operator="lessThan">
      <formula>0</formula>
    </cfRule>
  </conditionalFormatting>
  <conditionalFormatting sqref="W2:W18">
    <cfRule type="expression" dxfId="1" priority="11" stopIfTrue="1">
      <formula>AND($W2&gt;=0,$W2&lt;$Y$1)</formula>
    </cfRule>
  </conditionalFormatting>
  <conditionalFormatting sqref="W2:W18">
    <cfRule type="expression" dxfId="2" priority="12" stopIfTrue="1">
      <formula>$W2&gt;=$Y$1</formula>
    </cfRule>
  </conditionalFormatting>
  <drawing r:id="rId1"/>
</worksheet>
</file>